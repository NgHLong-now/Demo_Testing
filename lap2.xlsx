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L4" i="1" s="1"/>
  <c r="N7" i="1"/>
  <c r="M7" i="1"/>
  <c r="L7" i="1"/>
  <c r="C7" i="1"/>
  <c r="A7" i="1"/>
  <c r="L2" i="1"/>
  <c r="C2" i="1"/>
  <c r="F7" i="1" l="1"/>
</calcChain>
</file>

<file path=xl/comments1.xml><?xml version="1.0" encoding="utf-8"?>
<comments xmlns="http://schemas.openxmlformats.org/spreadsheetml/2006/main">
  <authors>
    <author>Author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0" shapeId="0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<sst xmlns="http://schemas.openxmlformats.org/spreadsheetml/2006/main" count="131" uniqueCount="63">
  <si>
    <t>Function Code</t>
  </si>
  <si>
    <t>Function Name</t>
  </si>
  <si>
    <t>Created By</t>
  </si>
  <si>
    <t>&lt;Developer Name&gt;</t>
  </si>
  <si>
    <t>Executed By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</si>
  <si>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</si>
  <si>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</si>
  <si>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</si>
  <si>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</si>
  <si>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</si>
  <si>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</si>
  <si>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</si>
  <si>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</si>
  <si>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</si>
  <si>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</si>
  <si>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</si>
  <si>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</si>
  <si>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</si>
  <si>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</si>
  <si>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</si>
  <si>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</si>
  <si>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</si>
  <si>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</si>
  <si>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</si>
  <si>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</si>
  <si>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</si>
  <si>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</si>
  <si>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</si>
  <si>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</si>
  <si>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</si>
  <si>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Can connect with server</t>
  </si>
  <si>
    <t>Date</t>
  </si>
  <si>
    <t>O</t>
  </si>
  <si>
    <t>Month</t>
  </si>
  <si>
    <t>Year</t>
  </si>
  <si>
    <t>Confirm</t>
  </si>
  <si>
    <t>Return</t>
  </si>
  <si>
    <t>T</t>
  </si>
  <si>
    <t>F</t>
  </si>
  <si>
    <t>Exception</t>
  </si>
  <si>
    <t>Log message</t>
  </si>
  <si>
    <t>"success"</t>
  </si>
  <si>
    <t>"input1 is null"</t>
  </si>
  <si>
    <t>Result</t>
  </si>
  <si>
    <t>Type(N : Normal, A : Abnormal, B : Boundary)</t>
  </si>
  <si>
    <t>A</t>
  </si>
  <si>
    <t>N</t>
  </si>
  <si>
    <t>B</t>
  </si>
  <si>
    <t>Passed/Failed</t>
  </si>
  <si>
    <t>P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</si>
  <si>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</si>
  <si>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</si>
  <si>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</si>
  <si>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</si>
  <si>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</si>
  <si>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</si>
  <si>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</si>
  <si>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</si>
  <si>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</si>
  <si>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</si>
  <si>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</si>
  <si>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</si>
  <si>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>L+A4:T42ines  of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</si>
</sst>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\-yy;@"/>
    <numFmt numFmtId="165" formatCode="mm/dd"/>
  </numFmts>
  <fonts count="12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2" fillId="0" borderId="1" xfId="1" applyFont="1" applyBorder="1"/>
    <xf numFmtId="0" fontId="3" fillId="0" borderId="1" xfId="1" applyFont="1" applyBorder="1" applyAlignment="1">
      <alignment horizontal="left"/>
    </xf>
    <xf numFmtId="0" fontId="2" fillId="0" borderId="0" xfId="1" applyFont="1"/>
    <xf numFmtId="0" fontId="2" fillId="0" borderId="0" xfId="1" applyFont="1" applyAlignment="1">
      <alignment horizontal="right"/>
    </xf>
    <xf numFmtId="0" fontId="4" fillId="2" borderId="12" xfId="2" applyFont="1" applyFill="1" applyBorder="1" applyAlignment="1">
      <alignment wrapText="1"/>
    </xf>
    <xf numFmtId="0" fontId="4" fillId="2" borderId="17" xfId="2" applyFont="1" applyFill="1" applyBorder="1" applyAlignment="1">
      <alignment wrapText="1"/>
    </xf>
    <xf numFmtId="0" fontId="4" fillId="2" borderId="19" xfId="2" applyFont="1" applyFill="1" applyBorder="1" applyAlignment="1">
      <alignment horizontal="left" wrapText="1"/>
    </xf>
    <xf numFmtId="0" fontId="2" fillId="2" borderId="3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left"/>
    </xf>
    <xf numFmtId="164" fontId="5" fillId="3" borderId="33" xfId="1" applyNumberFormat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left"/>
    </xf>
    <xf numFmtId="0" fontId="7" fillId="4" borderId="34" xfId="1" applyFont="1" applyFill="1" applyBorder="1"/>
    <xf numFmtId="0" fontId="7" fillId="4" borderId="34" xfId="1" applyFont="1" applyFill="1" applyBorder="1" applyAlignment="1">
      <alignment horizontal="right"/>
    </xf>
    <xf numFmtId="0" fontId="6" fillId="4" borderId="34" xfId="1" applyFont="1" applyFill="1" applyBorder="1" applyAlignment="1">
      <alignment vertical="top" textRotation="180"/>
    </xf>
    <xf numFmtId="0" fontId="6" fillId="4" borderId="35" xfId="1" applyFont="1" applyFill="1" applyBorder="1" applyAlignment="1">
      <alignment vertical="top" textRotation="180"/>
    </xf>
    <xf numFmtId="0" fontId="6" fillId="4" borderId="36" xfId="1" applyFont="1" applyFill="1" applyBorder="1" applyAlignment="1">
      <alignment vertical="center"/>
    </xf>
    <xf numFmtId="0" fontId="3" fillId="5" borderId="37" xfId="1" applyFont="1" applyFill="1" applyBorder="1" applyAlignment="1">
      <alignment horizontal="left" vertical="top"/>
    </xf>
    <xf numFmtId="0" fontId="2" fillId="5" borderId="38" xfId="1" applyFont="1" applyFill="1" applyBorder="1" applyAlignment="1">
      <alignment horizontal="center" vertical="top"/>
    </xf>
    <xf numFmtId="0" fontId="2" fillId="5" borderId="39" xfId="1" applyFont="1" applyFill="1" applyBorder="1" applyAlignment="1">
      <alignment horizontal="right" vertical="top"/>
    </xf>
    <xf numFmtId="0" fontId="4" fillId="6" borderId="0" xfId="1" applyFont="1" applyFill="1" applyBorder="1" applyAlignment="1">
      <alignment horizontal="right"/>
    </xf>
    <xf numFmtId="0" fontId="8" fillId="0" borderId="40" xfId="1" applyFont="1" applyBorder="1" applyAlignment="1">
      <alignment horizontal="center"/>
    </xf>
    <xf numFmtId="0" fontId="8" fillId="0" borderId="41" xfId="1" applyFont="1" applyBorder="1" applyAlignment="1">
      <alignment horizontal="center"/>
    </xf>
    <xf numFmtId="0" fontId="6" fillId="4" borderId="42" xfId="1" applyFont="1" applyFill="1" applyBorder="1" applyAlignment="1">
      <alignment vertical="center"/>
    </xf>
    <xf numFmtId="0" fontId="3" fillId="5" borderId="14" xfId="1" applyFont="1" applyFill="1" applyBorder="1" applyAlignment="1">
      <alignment horizontal="left" vertical="top"/>
    </xf>
    <xf numFmtId="0" fontId="2" fillId="5" borderId="15" xfId="1" applyFont="1" applyFill="1" applyBorder="1" applyAlignment="1">
      <alignment horizontal="center" vertical="top"/>
    </xf>
    <xf numFmtId="0" fontId="2" fillId="5" borderId="16" xfId="1" applyFont="1" applyFill="1" applyBorder="1" applyAlignment="1">
      <alignment horizontal="right" vertical="top"/>
    </xf>
    <xf numFmtId="0" fontId="8" fillId="0" borderId="43" xfId="1" applyFont="1" applyBorder="1" applyAlignment="1">
      <alignment horizontal="center"/>
    </xf>
    <xf numFmtId="0" fontId="8" fillId="0" borderId="44" xfId="1" applyFont="1" applyBorder="1" applyAlignment="1">
      <alignment horizontal="center"/>
    </xf>
    <xf numFmtId="0" fontId="2" fillId="6" borderId="0" xfId="1" applyFont="1" applyFill="1" applyBorder="1" applyAlignment="1">
      <alignment horizontal="right"/>
    </xf>
    <xf numFmtId="0" fontId="3" fillId="5" borderId="45" xfId="1" applyFont="1" applyFill="1" applyBorder="1" applyAlignment="1">
      <alignment horizontal="left" vertical="top"/>
    </xf>
    <xf numFmtId="0" fontId="2" fillId="5" borderId="46" xfId="1" applyFont="1" applyFill="1" applyBorder="1" applyAlignment="1">
      <alignment horizontal="center" vertical="top"/>
    </xf>
    <xf numFmtId="0" fontId="2" fillId="5" borderId="47" xfId="1" applyFont="1" applyFill="1" applyBorder="1" applyAlignment="1">
      <alignment horizontal="right" vertical="top"/>
    </xf>
    <xf numFmtId="0" fontId="2" fillId="6" borderId="48" xfId="1" applyFont="1" applyFill="1" applyBorder="1" applyAlignment="1">
      <alignment horizontal="right"/>
    </xf>
    <xf numFmtId="0" fontId="8" fillId="0" borderId="49" xfId="1" applyFont="1" applyBorder="1" applyAlignment="1">
      <alignment horizontal="center"/>
    </xf>
    <xf numFmtId="0" fontId="8" fillId="0" borderId="50" xfId="1" applyFont="1" applyBorder="1" applyAlignment="1">
      <alignment horizontal="center"/>
    </xf>
    <xf numFmtId="0" fontId="6" fillId="4" borderId="36" xfId="1" applyFont="1" applyFill="1" applyBorder="1" applyAlignment="1">
      <alignment vertical="top"/>
    </xf>
    <xf numFmtId="0" fontId="3" fillId="5" borderId="37" xfId="1" applyFont="1" applyFill="1" applyBorder="1" applyAlignment="1"/>
    <xf numFmtId="0" fontId="3" fillId="5" borderId="38" xfId="1" applyFont="1" applyFill="1" applyBorder="1" applyAlignment="1"/>
    <xf numFmtId="0" fontId="2" fillId="5" borderId="39" xfId="1" applyFont="1" applyFill="1" applyBorder="1" applyAlignment="1">
      <alignment horizontal="right"/>
    </xf>
    <xf numFmtId="0" fontId="2" fillId="6" borderId="40" xfId="1" applyFont="1" applyFill="1" applyBorder="1" applyAlignment="1">
      <alignment horizontal="left"/>
    </xf>
    <xf numFmtId="0" fontId="6" fillId="4" borderId="42" xfId="1" applyFont="1" applyFill="1" applyBorder="1" applyAlignment="1">
      <alignment vertical="top"/>
    </xf>
    <xf numFmtId="0" fontId="3" fillId="5" borderId="14" xfId="1" applyFont="1" applyFill="1" applyBorder="1" applyAlignment="1"/>
    <xf numFmtId="0" fontId="2" fillId="5" borderId="15" xfId="1" applyFont="1" applyFill="1" applyBorder="1" applyAlignment="1"/>
    <xf numFmtId="0" fontId="2" fillId="5" borderId="16" xfId="1" applyFont="1" applyFill="1" applyBorder="1" applyAlignment="1">
      <alignment horizontal="right"/>
    </xf>
    <xf numFmtId="0" fontId="2" fillId="6" borderId="43" xfId="1" applyFont="1" applyFill="1" applyBorder="1" applyAlignment="1">
      <alignment horizontal="left"/>
    </xf>
    <xf numFmtId="0" fontId="9" fillId="5" borderId="15" xfId="1" applyFont="1" applyFill="1" applyBorder="1" applyAlignment="1"/>
    <xf numFmtId="0" fontId="2" fillId="6" borderId="43" xfId="1" applyFont="1" applyFill="1" applyBorder="1"/>
    <xf numFmtId="0" fontId="3" fillId="5" borderId="51" xfId="1" applyFont="1" applyFill="1" applyBorder="1" applyAlignment="1"/>
    <xf numFmtId="0" fontId="2" fillId="5" borderId="52" xfId="1" applyFont="1" applyFill="1" applyBorder="1" applyAlignment="1"/>
    <xf numFmtId="0" fontId="2" fillId="5" borderId="53" xfId="1" applyFont="1" applyFill="1" applyBorder="1" applyAlignment="1">
      <alignment horizontal="right"/>
    </xf>
    <xf numFmtId="0" fontId="2" fillId="6" borderId="54" xfId="1" applyFont="1" applyFill="1" applyBorder="1" applyAlignment="1">
      <alignment horizontal="left"/>
    </xf>
    <xf numFmtId="0" fontId="8" fillId="0" borderId="54" xfId="1" applyFont="1" applyBorder="1" applyAlignment="1">
      <alignment horizontal="center"/>
    </xf>
    <xf numFmtId="0" fontId="8" fillId="0" borderId="55" xfId="1" applyFont="1" applyBorder="1" applyAlignment="1">
      <alignment horizontal="center"/>
    </xf>
    <xf numFmtId="0" fontId="2" fillId="0" borderId="56" xfId="1" applyFont="1" applyFill="1" applyBorder="1" applyAlignment="1">
      <alignment horizontal="left"/>
    </xf>
    <xf numFmtId="0" fontId="2" fillId="0" borderId="56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0" fontId="10" fillId="0" borderId="43" xfId="1" applyFont="1" applyBorder="1" applyAlignment="1">
      <alignment horizontal="left"/>
    </xf>
    <xf numFmtId="0" fontId="2" fillId="0" borderId="43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3" xfId="1" applyFont="1" applyBorder="1"/>
    <xf numFmtId="165" fontId="2" fillId="0" borderId="43" xfId="1" applyNumberFormat="1" applyFont="1" applyBorder="1" applyAlignment="1">
      <alignment vertical="top" textRotation="255"/>
    </xf>
    <xf numFmtId="165" fontId="2" fillId="0" borderId="44" xfId="1" applyNumberFormat="1" applyFont="1" applyBorder="1" applyAlignment="1">
      <alignment vertical="top" textRotation="255"/>
    </xf>
    <xf numFmtId="0" fontId="6" fillId="4" borderId="58" xfId="1" applyFont="1" applyFill="1" applyBorder="1" applyAlignment="1">
      <alignment vertical="top"/>
    </xf>
    <xf numFmtId="0" fontId="2" fillId="0" borderId="49" xfId="1" applyFont="1" applyBorder="1"/>
    <xf numFmtId="0" fontId="2" fillId="0" borderId="49" xfId="1" applyFont="1" applyBorder="1" applyAlignment="1">
      <alignment textRotation="255"/>
    </xf>
    <xf numFmtId="0" fontId="2" fillId="0" borderId="50" xfId="1" applyFont="1" applyBorder="1" applyAlignment="1">
      <alignment textRotation="255"/>
    </xf>
    <xf numFmtId="0" fontId="2" fillId="0" borderId="43" xfId="1" applyFont="1" applyBorder="1" applyAlignment="1">
      <alignment horizontal="left"/>
    </xf>
    <xf numFmtId="0" fontId="2" fillId="0" borderId="43" xfId="1" applyFont="1" applyBorder="1" applyAlignment="1">
      <alignment horizontal="left" vertical="top"/>
    </xf>
    <xf numFmtId="0" fontId="2" fillId="0" borderId="49" xfId="1" applyFont="1" applyBorder="1" applyAlignment="1">
      <alignment horizontal="left" vertical="top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5" xfId="1" applyFont="1" applyFill="1" applyBorder="1" applyAlignment="1">
      <alignment horizontal="center" vertical="center" wrapText="1"/>
    </xf>
    <xf numFmtId="0" fontId="2" fillId="2" borderId="26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left" wrapText="1"/>
    </xf>
    <xf numFmtId="0" fontId="3" fillId="2" borderId="10" xfId="2" applyFont="1" applyFill="1" applyBorder="1" applyAlignment="1">
      <alignment horizontal="left" wrapText="1"/>
    </xf>
    <xf numFmtId="0" fontId="4" fillId="2" borderId="18" xfId="2" applyFont="1" applyFill="1" applyBorder="1" applyAlignment="1">
      <alignment horizontal="center" wrapText="1"/>
    </xf>
    <xf numFmtId="0" fontId="4" fillId="2" borderId="19" xfId="2" applyFont="1" applyFill="1" applyBorder="1" applyAlignment="1">
      <alignment horizontal="center" wrapText="1"/>
    </xf>
    <xf numFmtId="0" fontId="3" fillId="2" borderId="14" xfId="2" applyFont="1" applyFill="1" applyBorder="1" applyAlignment="1">
      <alignment horizontal="left" wrapText="1"/>
    </xf>
    <xf numFmtId="0" fontId="3" fillId="2" borderId="15" xfId="2" applyFont="1" applyFill="1" applyBorder="1" applyAlignment="1">
      <alignment horizontal="left" wrapText="1"/>
    </xf>
    <xf numFmtId="0" fontId="3" fillId="2" borderId="16" xfId="2" applyFont="1" applyFill="1" applyBorder="1" applyAlignment="1">
      <alignment horizontal="left" wrapText="1"/>
    </xf>
    <xf numFmtId="0" fontId="2" fillId="2" borderId="20" xfId="2" applyFont="1" applyFill="1" applyBorder="1" applyAlignment="1">
      <alignment horizontal="center" wrapText="1"/>
    </xf>
    <xf numFmtId="0" fontId="2" fillId="2" borderId="19" xfId="2" applyFont="1" applyFill="1" applyBorder="1" applyAlignment="1">
      <alignment horizontal="center" wrapText="1"/>
    </xf>
    <xf numFmtId="0" fontId="2" fillId="2" borderId="21" xfId="2" applyFont="1" applyFill="1" applyBorder="1" applyAlignment="1">
      <alignment horizontal="center" wrapText="1"/>
    </xf>
    <xf numFmtId="0" fontId="4" fillId="2" borderId="22" xfId="2" applyFont="1" applyFill="1" applyBorder="1" applyAlignment="1">
      <alignment horizontal="left" wrapText="1"/>
    </xf>
    <xf numFmtId="0" fontId="4" fillId="2" borderId="23" xfId="2" applyFont="1" applyFill="1" applyBorder="1" applyAlignment="1">
      <alignment horizontal="left" wrapText="1"/>
    </xf>
    <xf numFmtId="0" fontId="3" fillId="2" borderId="2" xfId="2" applyFont="1" applyFill="1" applyBorder="1" applyAlignment="1">
      <alignment horizontal="left" wrapText="1"/>
    </xf>
    <xf numFmtId="0" fontId="3" fillId="2" borderId="3" xfId="2" applyFont="1" applyFill="1" applyBorder="1" applyAlignment="1">
      <alignment horizontal="left" wrapText="1"/>
    </xf>
    <xf numFmtId="49" fontId="4" fillId="2" borderId="4" xfId="2" applyNumberFormat="1" applyFont="1" applyFill="1" applyBorder="1" applyAlignment="1">
      <alignment horizontal="left" wrapText="1"/>
    </xf>
    <xf numFmtId="0" fontId="4" fillId="2" borderId="3" xfId="2" applyFont="1" applyFill="1" applyBorder="1" applyAlignment="1">
      <alignment horizontal="left" wrapText="1"/>
    </xf>
    <xf numFmtId="0" fontId="4" fillId="2" borderId="5" xfId="2" applyFont="1" applyFill="1" applyBorder="1" applyAlignment="1">
      <alignment horizontal="left" wrapText="1"/>
    </xf>
    <xf numFmtId="0" fontId="3" fillId="2" borderId="6" xfId="2" applyFont="1" applyFill="1" applyBorder="1" applyAlignment="1">
      <alignment horizontal="left" wrapText="1"/>
    </xf>
    <xf numFmtId="0" fontId="3" fillId="2" borderId="7" xfId="2" applyFont="1" applyFill="1" applyBorder="1" applyAlignment="1">
      <alignment horizontal="left" wrapText="1"/>
    </xf>
    <xf numFmtId="49" fontId="2" fillId="2" borderId="4" xfId="2" applyNumberFormat="1" applyFont="1" applyFill="1" applyBorder="1" applyAlignment="1">
      <alignment horizontal="center" wrapText="1"/>
    </xf>
    <xf numFmtId="0" fontId="2" fillId="2" borderId="3" xfId="2" applyFont="1" applyFill="1" applyBorder="1" applyAlignment="1">
      <alignment horizontal="center" wrapText="1"/>
    </xf>
    <xf numFmtId="0" fontId="2" fillId="2" borderId="8" xfId="2" applyFont="1" applyFill="1" applyBorder="1" applyAlignment="1">
      <alignment horizontal="center" wrapText="1"/>
    </xf>
    <xf numFmtId="0" fontId="4" fillId="2" borderId="11" xfId="2" applyFont="1" applyFill="1" applyBorder="1" applyAlignment="1">
      <alignment horizontal="left" wrapText="1"/>
    </xf>
    <xf numFmtId="0" fontId="4" fillId="2" borderId="12" xfId="2" applyFont="1" applyFill="1" applyBorder="1" applyAlignment="1">
      <alignment horizontal="left" wrapText="1"/>
    </xf>
    <xf numFmtId="0" fontId="4" fillId="2" borderId="13" xfId="2" applyFont="1" applyFill="1" applyBorder="1" applyAlignment="1">
      <alignment horizontal="left" wrapText="1"/>
    </xf>
  </cellXfs>
  <cellStyles count="3">
    <cellStyle name="Normal" xfId="0" builtinId="0"/>
    <cellStyle name="Normal_Sheet1" xfId="2"/>
    <cellStyle name="Normal_Template_UnitTest Case_v0.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udy\SEM5\Test\Lab2-WritingUnitTestCase\Template_Unit%20Test%20C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leline"/>
      <sheetName val="Cover"/>
      <sheetName val="FunctionList"/>
      <sheetName val="Test Report"/>
      <sheetName val="Function1"/>
      <sheetName val="Function2"/>
      <sheetName val="Function3"/>
      <sheetName val="Example"/>
      <sheetName val="Sheet1"/>
      <sheetName val="Sheet2"/>
    </sheetNames>
    <sheetDataSet>
      <sheetData sheetId="0"/>
      <sheetData sheetId="1"/>
      <sheetData sheetId="2">
        <row r="6">
          <cell r="E6">
            <v>100</v>
          </cell>
        </row>
        <row r="11">
          <cell r="D11" t="str">
            <v>Function A</v>
          </cell>
          <cell r="E11" t="str">
            <v>Function1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4"/>
  <sheetViews>
    <sheetView tabSelected="1" topLeftCell="A14" zoomScale="85" zoomScaleNormal="85" workbookViewId="0">
      <selection activeCell="D26" sqref="D26"/>
    </sheetView>
  </sheetViews>
  <sheetFormatPr defaultRowHeight="14.4"/>
  <sheetData>
    <row r="1" spans="1:20" ht="15" thickBot="1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97" t="s">
        <v>0</v>
      </c>
      <c r="B2" s="98"/>
      <c r="C2" s="99" t="str">
        <f>[1]FunctionList!E11</f>
        <v>Function1</v>
      </c>
      <c r="D2" s="100"/>
      <c r="E2" s="101"/>
      <c r="F2" s="102" t="s">
        <v>1</v>
      </c>
      <c r="G2" s="103"/>
      <c r="H2" s="103"/>
      <c r="I2" s="103"/>
      <c r="J2" s="103"/>
      <c r="K2" s="103"/>
      <c r="L2" s="104" t="str">
        <f>[1]FunctionList!D11</f>
        <v>Function A</v>
      </c>
      <c r="M2" s="105"/>
      <c r="N2" s="105"/>
      <c r="O2" s="105"/>
      <c r="P2" s="105"/>
      <c r="Q2" s="105"/>
      <c r="R2" s="105"/>
      <c r="S2" s="105"/>
      <c r="T2" s="106"/>
    </row>
    <row r="3" spans="1:20">
      <c r="A3" s="85" t="s">
        <v>2</v>
      </c>
      <c r="B3" s="86"/>
      <c r="C3" s="107" t="s">
        <v>3</v>
      </c>
      <c r="D3" s="108"/>
      <c r="E3" s="109"/>
      <c r="F3" s="89" t="s">
        <v>4</v>
      </c>
      <c r="G3" s="90"/>
      <c r="H3" s="90"/>
      <c r="I3" s="90"/>
      <c r="J3" s="90"/>
      <c r="K3" s="91"/>
      <c r="L3" s="108"/>
      <c r="M3" s="108"/>
      <c r="N3" s="108"/>
      <c r="O3" s="5"/>
      <c r="P3" s="5"/>
      <c r="Q3" s="5"/>
      <c r="R3" s="5"/>
      <c r="S3" s="5"/>
      <c r="T3" s="6"/>
    </row>
    <row r="4" spans="1:20">
      <c r="A4" s="85" t="s">
        <v>62</v>
      </c>
      <c r="B4" s="86"/>
      <c r="C4" s="87">
        <v>100</v>
      </c>
      <c r="D4" s="88"/>
      <c r="E4" s="7"/>
      <c r="F4" s="89" t="s">
        <v>5</v>
      </c>
      <c r="G4" s="90"/>
      <c r="H4" s="90"/>
      <c r="I4" s="90"/>
      <c r="J4" s="90"/>
      <c r="K4" s="91"/>
      <c r="L4" s="92">
        <f xml:space="preserve"> IF([1]FunctionList!E6&lt;&gt;"N/A",SUM(C4*[1]FunctionList!E6/1000,- O7),"N/A")</f>
        <v>-5</v>
      </c>
      <c r="M4" s="93"/>
      <c r="N4" s="93"/>
      <c r="O4" s="93"/>
      <c r="P4" s="93"/>
      <c r="Q4" s="93"/>
      <c r="R4" s="93"/>
      <c r="S4" s="93"/>
      <c r="T4" s="94"/>
    </row>
    <row r="5" spans="1:20">
      <c r="A5" s="85" t="s">
        <v>6</v>
      </c>
      <c r="B5" s="86"/>
      <c r="C5" s="95" t="s">
        <v>7</v>
      </c>
      <c r="D5" s="95"/>
      <c r="E5" s="95"/>
      <c r="F5" s="96"/>
      <c r="G5" s="96"/>
      <c r="H5" s="96"/>
      <c r="I5" s="96"/>
      <c r="J5" s="96"/>
      <c r="K5" s="96"/>
      <c r="L5" s="95"/>
      <c r="M5" s="95"/>
      <c r="N5" s="95"/>
      <c r="O5" s="95"/>
      <c r="P5" s="95"/>
      <c r="Q5" s="95"/>
      <c r="R5" s="95"/>
      <c r="S5" s="95"/>
      <c r="T5" s="95"/>
    </row>
    <row r="6" spans="1:20">
      <c r="A6" s="70" t="s">
        <v>8</v>
      </c>
      <c r="B6" s="71"/>
      <c r="C6" s="72" t="s">
        <v>9</v>
      </c>
      <c r="D6" s="73"/>
      <c r="E6" s="74"/>
      <c r="F6" s="72" t="s">
        <v>10</v>
      </c>
      <c r="G6" s="73"/>
      <c r="H6" s="73"/>
      <c r="I6" s="73"/>
      <c r="J6" s="73"/>
      <c r="K6" s="75"/>
      <c r="L6" s="73" t="s">
        <v>11</v>
      </c>
      <c r="M6" s="73"/>
      <c r="N6" s="73"/>
      <c r="O6" s="76" t="s">
        <v>12</v>
      </c>
      <c r="P6" s="73"/>
      <c r="Q6" s="73"/>
      <c r="R6" s="73"/>
      <c r="S6" s="73"/>
      <c r="T6" s="77"/>
    </row>
    <row r="7" spans="1:20" ht="15" thickBot="1">
      <c r="A7" s="78">
        <f>COUNTIF(F40:HQ40,"P")</f>
        <v>0</v>
      </c>
      <c r="B7" s="79"/>
      <c r="C7" s="80">
        <f>COUNTIF(F40:HQ40,"F")</f>
        <v>0</v>
      </c>
      <c r="D7" s="81"/>
      <c r="E7" s="79"/>
      <c r="F7" s="80">
        <f>SUM(O7,- A7,- C7)</f>
        <v>15</v>
      </c>
      <c r="G7" s="81"/>
      <c r="H7" s="81"/>
      <c r="I7" s="81"/>
      <c r="J7" s="81"/>
      <c r="K7" s="82"/>
      <c r="L7" s="8">
        <f>COUNTIF(E39:HQ39,"N")</f>
        <v>0</v>
      </c>
      <c r="M7" s="8">
        <f>COUNTIF(E39:HQ39,"A")</f>
        <v>0</v>
      </c>
      <c r="N7" s="8">
        <f>COUNTIF(E39:HQ39,"B")</f>
        <v>0</v>
      </c>
      <c r="O7" s="83">
        <f>COUNTA(E9:HT9)</f>
        <v>15</v>
      </c>
      <c r="P7" s="81"/>
      <c r="Q7" s="81"/>
      <c r="R7" s="81"/>
      <c r="S7" s="81"/>
      <c r="T7" s="84"/>
    </row>
    <row r="8" spans="1:20" ht="15" thickBot="1">
      <c r="A8" s="3"/>
      <c r="B8" s="9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37.200000000000003" thickTop="1" thickBot="1">
      <c r="A9" s="10"/>
      <c r="B9" s="11"/>
      <c r="C9" s="12"/>
      <c r="D9" s="13"/>
      <c r="E9" s="12"/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17</v>
      </c>
      <c r="K9" s="14" t="s">
        <v>18</v>
      </c>
      <c r="L9" s="14" t="s">
        <v>19</v>
      </c>
      <c r="M9" s="14" t="s">
        <v>20</v>
      </c>
      <c r="N9" s="14" t="s">
        <v>21</v>
      </c>
      <c r="O9" s="14" t="s">
        <v>22</v>
      </c>
      <c r="P9" s="14" t="s">
        <v>23</v>
      </c>
      <c r="Q9" s="14" t="s">
        <v>24</v>
      </c>
      <c r="R9" s="14" t="s">
        <v>25</v>
      </c>
      <c r="S9" s="14" t="s">
        <v>26</v>
      </c>
      <c r="T9" s="15" t="s">
        <v>27</v>
      </c>
    </row>
    <row r="10" spans="1:20" ht="15.6">
      <c r="A10" s="16" t="s">
        <v>28</v>
      </c>
      <c r="B10" s="17" t="s">
        <v>29</v>
      </c>
      <c r="C10" s="18"/>
      <c r="D10" s="19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</row>
    <row r="11" spans="1:20" ht="15.6">
      <c r="A11" s="23"/>
      <c r="B11" s="24"/>
      <c r="C11" s="25"/>
      <c r="D11" s="26" t="s">
        <v>30</v>
      </c>
      <c r="E11" s="20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</row>
    <row r="12" spans="1:20" ht="15.6">
      <c r="A12" s="23"/>
      <c r="B12" s="24"/>
      <c r="C12" s="25"/>
      <c r="D12" s="26"/>
      <c r="E12" s="20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</row>
    <row r="13" spans="1:20" ht="15.6">
      <c r="A13" s="23"/>
      <c r="B13" s="24"/>
      <c r="C13" s="25"/>
      <c r="D13" s="26"/>
      <c r="E13" s="2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</row>
    <row r="14" spans="1:20" ht="15.6">
      <c r="A14" s="23"/>
      <c r="B14" s="24" t="s">
        <v>31</v>
      </c>
      <c r="C14" s="25"/>
      <c r="D14" s="26"/>
      <c r="E14" s="29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</row>
    <row r="15" spans="1:20" ht="15.6">
      <c r="A15" s="23"/>
      <c r="B15" s="24"/>
      <c r="C15" s="25"/>
      <c r="D15" s="26">
        <v>28</v>
      </c>
      <c r="E15" s="29"/>
      <c r="F15" s="27"/>
      <c r="G15" s="27"/>
      <c r="H15" s="27"/>
      <c r="I15" s="27"/>
      <c r="J15" s="27"/>
      <c r="K15" s="27"/>
      <c r="L15" s="27"/>
      <c r="M15" s="27"/>
      <c r="N15" s="27" t="s">
        <v>32</v>
      </c>
      <c r="O15" s="27" t="s">
        <v>32</v>
      </c>
      <c r="P15" s="27"/>
      <c r="Q15" s="27"/>
      <c r="R15" s="27"/>
      <c r="S15" s="27"/>
      <c r="T15" s="28"/>
    </row>
    <row r="16" spans="1:20" ht="15.6">
      <c r="A16" s="23"/>
      <c r="B16" s="24"/>
      <c r="C16" s="25"/>
      <c r="D16" s="26">
        <v>29</v>
      </c>
      <c r="E16" s="29"/>
      <c r="F16" s="27" t="s">
        <v>32</v>
      </c>
      <c r="G16" s="27" t="s">
        <v>32</v>
      </c>
      <c r="H16" s="27" t="s">
        <v>32</v>
      </c>
      <c r="I16" s="27" t="s">
        <v>32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8"/>
    </row>
    <row r="17" spans="1:20" ht="15.6">
      <c r="A17" s="23"/>
      <c r="B17" s="24"/>
      <c r="C17" s="25"/>
      <c r="D17" s="26">
        <v>30</v>
      </c>
      <c r="E17" s="29"/>
      <c r="F17" s="27"/>
      <c r="G17" s="27"/>
      <c r="H17" s="27"/>
      <c r="I17" s="27"/>
      <c r="J17" s="27" t="s">
        <v>32</v>
      </c>
      <c r="K17" s="27" t="s">
        <v>32</v>
      </c>
      <c r="L17" s="27"/>
      <c r="M17" s="27"/>
      <c r="N17" s="27"/>
      <c r="O17" s="27"/>
      <c r="P17" s="27"/>
      <c r="Q17" s="27"/>
      <c r="R17" s="27"/>
      <c r="S17" s="27"/>
      <c r="T17" s="28"/>
    </row>
    <row r="18" spans="1:20" ht="15.6">
      <c r="A18" s="23"/>
      <c r="B18" s="24"/>
      <c r="C18" s="25"/>
      <c r="D18" s="26">
        <v>31</v>
      </c>
      <c r="E18" s="29"/>
      <c r="F18" s="27"/>
      <c r="G18" s="27"/>
      <c r="H18" s="27"/>
      <c r="I18" s="27"/>
      <c r="J18" s="27"/>
      <c r="K18" s="27"/>
      <c r="L18" s="27" t="s">
        <v>32</v>
      </c>
      <c r="M18" s="27" t="s">
        <v>32</v>
      </c>
      <c r="N18" s="27"/>
      <c r="O18" s="27"/>
      <c r="P18" s="27" t="s">
        <v>32</v>
      </c>
      <c r="Q18" s="27"/>
      <c r="R18" s="27"/>
      <c r="S18" s="27"/>
      <c r="T18" s="28"/>
    </row>
    <row r="19" spans="1:20" ht="15.6">
      <c r="A19" s="23"/>
      <c r="B19" s="24" t="s">
        <v>33</v>
      </c>
      <c r="C19" s="25"/>
      <c r="D19" s="26"/>
      <c r="E19" s="29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8"/>
    </row>
    <row r="20" spans="1:20" ht="15.6">
      <c r="A20" s="23"/>
      <c r="B20" s="24"/>
      <c r="C20" s="25"/>
      <c r="D20" s="26">
        <v>2</v>
      </c>
      <c r="E20" s="29"/>
      <c r="F20" s="27" t="s">
        <v>32</v>
      </c>
      <c r="G20" s="27"/>
      <c r="H20" s="27"/>
      <c r="I20" s="27" t="s">
        <v>32</v>
      </c>
      <c r="J20" s="27"/>
      <c r="K20" s="27"/>
      <c r="L20" s="27"/>
      <c r="M20" s="27"/>
      <c r="N20" s="27" t="s">
        <v>32</v>
      </c>
      <c r="O20" s="27" t="s">
        <v>32</v>
      </c>
      <c r="P20" s="27" t="s">
        <v>32</v>
      </c>
      <c r="Q20" s="27"/>
      <c r="R20" s="27"/>
      <c r="S20" s="27"/>
      <c r="T20" s="28"/>
    </row>
    <row r="21" spans="1:20" ht="15.6">
      <c r="A21" s="23"/>
      <c r="B21" s="24"/>
      <c r="C21" s="25"/>
      <c r="D21" s="26">
        <v>3</v>
      </c>
      <c r="E21" s="29"/>
      <c r="F21" s="27"/>
      <c r="G21" s="27" t="s">
        <v>32</v>
      </c>
      <c r="H21" s="27"/>
      <c r="I21" s="27"/>
      <c r="J21" s="27" t="s">
        <v>32</v>
      </c>
      <c r="K21" s="27"/>
      <c r="L21" s="27" t="s">
        <v>32</v>
      </c>
      <c r="M21" s="27"/>
      <c r="N21" s="27"/>
      <c r="O21" s="27"/>
      <c r="P21" s="27"/>
      <c r="Q21" s="27"/>
      <c r="R21" s="27"/>
      <c r="S21" s="27"/>
      <c r="T21" s="28"/>
    </row>
    <row r="22" spans="1:20" ht="15.6">
      <c r="A22" s="23"/>
      <c r="B22" s="24"/>
      <c r="C22" s="25"/>
      <c r="D22" s="26">
        <v>4</v>
      </c>
      <c r="E22" s="29"/>
      <c r="F22" s="27"/>
      <c r="G22" s="27"/>
      <c r="H22" s="27" t="s">
        <v>32</v>
      </c>
      <c r="I22" s="27"/>
      <c r="J22" s="27"/>
      <c r="K22" s="27" t="s">
        <v>32</v>
      </c>
      <c r="L22" s="27"/>
      <c r="M22" s="27" t="s">
        <v>32</v>
      </c>
      <c r="N22" s="27"/>
      <c r="O22" s="27"/>
      <c r="P22" s="27"/>
      <c r="Q22" s="27"/>
      <c r="R22" s="27"/>
      <c r="S22" s="27"/>
      <c r="T22" s="28"/>
    </row>
    <row r="23" spans="1:20" ht="15.6">
      <c r="A23" s="23"/>
      <c r="B23" s="24" t="s">
        <v>34</v>
      </c>
      <c r="C23" s="25"/>
      <c r="D23" s="26"/>
      <c r="E23" s="29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8"/>
    </row>
    <row r="24" spans="1:20" ht="15.6">
      <c r="A24" s="23"/>
      <c r="B24" s="24"/>
      <c r="C24" s="25"/>
      <c r="D24" s="26">
        <v>2000</v>
      </c>
      <c r="E24" s="29"/>
      <c r="F24" s="27" t="s">
        <v>32</v>
      </c>
      <c r="G24" s="27"/>
      <c r="H24" s="27"/>
      <c r="I24" s="27"/>
      <c r="J24" s="27"/>
      <c r="K24" s="27"/>
      <c r="L24" s="27"/>
      <c r="M24" s="27"/>
      <c r="N24" s="27" t="s">
        <v>32</v>
      </c>
      <c r="O24" s="27"/>
      <c r="P24" s="27" t="s">
        <v>32</v>
      </c>
      <c r="Q24" s="27"/>
      <c r="R24" s="27"/>
      <c r="S24" s="27"/>
      <c r="T24" s="28"/>
    </row>
    <row r="25" spans="1:20" ht="15.6">
      <c r="A25" s="23"/>
      <c r="B25" s="24"/>
      <c r="C25" s="25"/>
      <c r="D25" s="26">
        <v>2009</v>
      </c>
      <c r="E25" s="29"/>
      <c r="F25" s="27"/>
      <c r="G25" s="27" t="s">
        <v>32</v>
      </c>
      <c r="H25" s="27" t="s">
        <v>32</v>
      </c>
      <c r="I25" s="27" t="s">
        <v>32</v>
      </c>
      <c r="J25" s="27" t="s">
        <v>32</v>
      </c>
      <c r="K25" s="27" t="s">
        <v>32</v>
      </c>
      <c r="L25" s="27" t="s">
        <v>32</v>
      </c>
      <c r="M25" s="27" t="s">
        <v>32</v>
      </c>
      <c r="N25" s="27"/>
      <c r="O25" s="27" t="s">
        <v>32</v>
      </c>
      <c r="P25" s="27"/>
      <c r="Q25" s="27"/>
      <c r="R25" s="27"/>
      <c r="S25" s="27"/>
      <c r="T25" s="28"/>
    </row>
    <row r="26" spans="1:20" ht="15.6">
      <c r="A26" s="23"/>
      <c r="B26" s="24"/>
      <c r="C26" s="25"/>
      <c r="D26" s="26"/>
      <c r="E26" s="29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8"/>
    </row>
    <row r="27" spans="1:20" ht="15.6">
      <c r="A27" s="23"/>
      <c r="B27" s="24"/>
      <c r="C27" s="25"/>
      <c r="D27" s="26"/>
      <c r="E27" s="2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8"/>
    </row>
    <row r="28" spans="1:20" ht="15.6">
      <c r="A28" s="23"/>
      <c r="B28" s="24"/>
      <c r="C28" s="25"/>
      <c r="D28" s="26"/>
      <c r="E28" s="2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8"/>
    </row>
    <row r="29" spans="1:20" ht="15.6">
      <c r="A29" s="23"/>
      <c r="B29" s="24"/>
      <c r="C29" s="25"/>
      <c r="D29" s="26"/>
      <c r="E29" s="29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8"/>
    </row>
    <row r="30" spans="1:20" ht="16.2" thickBot="1">
      <c r="A30" s="23"/>
      <c r="B30" s="24"/>
      <c r="C30" s="25"/>
      <c r="D30" s="26"/>
      <c r="E30" s="33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</row>
    <row r="31" spans="1:20" ht="16.8" thickTop="1" thickBot="1">
      <c r="A31" s="23"/>
      <c r="B31" s="30"/>
      <c r="C31" s="31"/>
      <c r="D31" s="32"/>
      <c r="E31" s="40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</row>
    <row r="32" spans="1:20" ht="16.2" thickTop="1">
      <c r="A32" s="36" t="s">
        <v>35</v>
      </c>
      <c r="B32" s="37" t="s">
        <v>36</v>
      </c>
      <c r="C32" s="38"/>
      <c r="D32" s="39"/>
      <c r="E32" s="45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2"/>
    </row>
    <row r="33" spans="1:20" ht="15.6">
      <c r="A33" s="41"/>
      <c r="B33" s="42"/>
      <c r="C33" s="43"/>
      <c r="D33" s="44" t="s">
        <v>37</v>
      </c>
      <c r="E33" s="47"/>
      <c r="F33" s="27" t="s">
        <v>32</v>
      </c>
      <c r="G33" s="27" t="s">
        <v>32</v>
      </c>
      <c r="H33" s="27" t="s">
        <v>32</v>
      </c>
      <c r="I33" s="27"/>
      <c r="J33" s="27" t="s">
        <v>32</v>
      </c>
      <c r="K33" s="27" t="s">
        <v>32</v>
      </c>
      <c r="L33" s="27" t="s">
        <v>32</v>
      </c>
      <c r="M33" s="27"/>
      <c r="N33" s="27" t="s">
        <v>32</v>
      </c>
      <c r="O33" s="27" t="s">
        <v>32</v>
      </c>
      <c r="P33" s="27"/>
      <c r="Q33" s="27"/>
      <c r="R33" s="27"/>
      <c r="S33" s="27"/>
      <c r="T33" s="28"/>
    </row>
    <row r="34" spans="1:20" ht="15.6">
      <c r="A34" s="41"/>
      <c r="B34" s="42"/>
      <c r="C34" s="46"/>
      <c r="D34" s="44" t="s">
        <v>38</v>
      </c>
      <c r="E34" s="47"/>
      <c r="F34" s="27"/>
      <c r="G34" s="27"/>
      <c r="H34" s="27"/>
      <c r="I34" s="27" t="s">
        <v>32</v>
      </c>
      <c r="J34" s="27"/>
      <c r="K34" s="27"/>
      <c r="L34" s="27"/>
      <c r="M34" s="27" t="s">
        <v>32</v>
      </c>
      <c r="N34" s="27"/>
      <c r="O34" s="27"/>
      <c r="P34" s="27" t="s">
        <v>32</v>
      </c>
      <c r="Q34" s="27"/>
      <c r="R34" s="27"/>
      <c r="S34" s="27"/>
      <c r="T34" s="28"/>
    </row>
    <row r="35" spans="1:20" ht="15.6">
      <c r="A35" s="41"/>
      <c r="B35" s="42" t="s">
        <v>39</v>
      </c>
      <c r="C35" s="46"/>
      <c r="D35" s="44"/>
      <c r="E35" s="4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8"/>
    </row>
    <row r="36" spans="1:20" ht="15.6">
      <c r="A36" s="41"/>
      <c r="B36" s="42"/>
      <c r="C36" s="46"/>
      <c r="D36" s="44"/>
      <c r="E36" s="4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</row>
    <row r="37" spans="1:20" ht="15.6">
      <c r="A37" s="41"/>
      <c r="B37" s="42" t="s">
        <v>40</v>
      </c>
      <c r="C37" s="46"/>
      <c r="D37" s="44"/>
      <c r="E37" s="4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8"/>
    </row>
    <row r="38" spans="1:20" ht="16.2" thickBot="1">
      <c r="A38" s="41"/>
      <c r="B38" s="42"/>
      <c r="C38" s="46"/>
      <c r="D38" s="44" t="s">
        <v>41</v>
      </c>
      <c r="E38" s="51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8"/>
    </row>
    <row r="39" spans="1:20" ht="16.8" thickTop="1" thickBot="1">
      <c r="A39" s="41"/>
      <c r="B39" s="48"/>
      <c r="C39" s="49"/>
      <c r="D39" s="50" t="s">
        <v>42</v>
      </c>
      <c r="E39" s="54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3"/>
    </row>
    <row r="40" spans="1:20" ht="15" thickTop="1">
      <c r="A40" s="36" t="s">
        <v>43</v>
      </c>
      <c r="B40" s="54" t="s">
        <v>44</v>
      </c>
      <c r="C40" s="54"/>
      <c r="D40" s="54"/>
      <c r="E40" s="57"/>
      <c r="F40" s="55" t="s">
        <v>45</v>
      </c>
      <c r="G40" s="55" t="s">
        <v>46</v>
      </c>
      <c r="H40" s="55" t="s">
        <v>46</v>
      </c>
      <c r="I40" s="55" t="s">
        <v>46</v>
      </c>
      <c r="J40" s="55" t="s">
        <v>46</v>
      </c>
      <c r="K40" s="55" t="s">
        <v>47</v>
      </c>
      <c r="L40" s="55" t="s">
        <v>45</v>
      </c>
      <c r="M40" s="55" t="s">
        <v>46</v>
      </c>
      <c r="N40" s="55" t="s">
        <v>46</v>
      </c>
      <c r="O40" s="55" t="s">
        <v>46</v>
      </c>
      <c r="P40" s="55" t="s">
        <v>46</v>
      </c>
      <c r="Q40" s="55" t="s">
        <v>46</v>
      </c>
      <c r="R40" s="55" t="s">
        <v>45</v>
      </c>
      <c r="S40" s="55" t="s">
        <v>46</v>
      </c>
      <c r="T40" s="56" t="s">
        <v>46</v>
      </c>
    </row>
    <row r="41" spans="1:20">
      <c r="A41" s="41"/>
      <c r="B41" s="67" t="s">
        <v>48</v>
      </c>
      <c r="C41" s="67"/>
      <c r="D41" s="67"/>
      <c r="E41" s="60"/>
      <c r="F41" s="58" t="s">
        <v>49</v>
      </c>
      <c r="G41" s="58" t="s">
        <v>49</v>
      </c>
      <c r="H41" s="58" t="s">
        <v>49</v>
      </c>
      <c r="I41" s="58" t="s">
        <v>49</v>
      </c>
      <c r="J41" s="58" t="s">
        <v>49</v>
      </c>
      <c r="K41" s="58" t="s">
        <v>38</v>
      </c>
      <c r="L41" s="58" t="s">
        <v>38</v>
      </c>
      <c r="M41" s="58" t="s">
        <v>49</v>
      </c>
      <c r="N41" s="58" t="s">
        <v>49</v>
      </c>
      <c r="O41" s="58" t="s">
        <v>49</v>
      </c>
      <c r="P41" s="58" t="s">
        <v>49</v>
      </c>
      <c r="Q41" s="58" t="s">
        <v>49</v>
      </c>
      <c r="R41" s="58"/>
      <c r="S41" s="58" t="s">
        <v>49</v>
      </c>
      <c r="T41" s="59" t="s">
        <v>49</v>
      </c>
    </row>
    <row r="42" spans="1:20" ht="52.8" thickBot="1">
      <c r="A42" s="41"/>
      <c r="B42" s="68" t="s">
        <v>50</v>
      </c>
      <c r="C42" s="68"/>
      <c r="D42" s="68"/>
      <c r="E42" s="64"/>
      <c r="F42" s="61">
        <v>39139</v>
      </c>
      <c r="G42" s="61">
        <v>39139</v>
      </c>
      <c r="H42" s="61">
        <v>39140</v>
      </c>
      <c r="I42" s="61">
        <v>39141</v>
      </c>
      <c r="J42" s="61">
        <v>39142</v>
      </c>
      <c r="K42" s="61">
        <v>39143</v>
      </c>
      <c r="L42" s="61">
        <v>39144</v>
      </c>
      <c r="M42" s="61">
        <v>39145</v>
      </c>
      <c r="N42" s="61">
        <v>39146</v>
      </c>
      <c r="O42" s="61">
        <v>39147</v>
      </c>
      <c r="P42" s="61">
        <v>39148</v>
      </c>
      <c r="Q42" s="61">
        <v>39149</v>
      </c>
      <c r="R42" s="61">
        <v>39150</v>
      </c>
      <c r="S42" s="61">
        <v>39151</v>
      </c>
      <c r="T42" s="62">
        <v>39152</v>
      </c>
    </row>
    <row r="43" spans="1:20" ht="73.8" thickTop="1" thickBot="1">
      <c r="A43" s="63"/>
      <c r="B43" s="69" t="s">
        <v>51</v>
      </c>
      <c r="C43" s="69"/>
      <c r="D43" s="69"/>
      <c r="F43" s="65"/>
      <c r="G43" s="65"/>
      <c r="H43" s="65"/>
      <c r="I43" s="65"/>
      <c r="J43" s="65"/>
      <c r="K43" s="65" t="s">
        <v>52</v>
      </c>
      <c r="L43" s="65" t="s">
        <v>53</v>
      </c>
      <c r="M43" s="65" t="s">
        <v>54</v>
      </c>
      <c r="N43" s="65" t="s">
        <v>55</v>
      </c>
      <c r="O43" s="65" t="s">
        <v>56</v>
      </c>
      <c r="P43" s="65" t="s">
        <v>57</v>
      </c>
      <c r="Q43" s="65" t="s">
        <v>58</v>
      </c>
      <c r="R43" s="65" t="s">
        <v>59</v>
      </c>
      <c r="S43" s="65" t="s">
        <v>60</v>
      </c>
      <c r="T43" s="66" t="s">
        <v>61</v>
      </c>
    </row>
    <row r="44" spans="1:20" ht="15" thickTop="1"/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dataValidations count="3">
    <dataValidation type="list" allowBlank="1" showInputMessage="1" showErrorMessage="1" sqref="F41:T41">
      <formula1>"P,F, "</formula1>
    </dataValidation>
    <dataValidation type="list" allowBlank="1" showInputMessage="1" showErrorMessage="1" sqref="F40:T40">
      <formula1>"N,A,B, "</formula1>
    </dataValidation>
    <dataValidation type="list" allowBlank="1" showInputMessage="1" showErrorMessage="1" sqref="F10:T39">
      <formula1>"O,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2021-03-01T06:38:54Z</dcterms:modified>
</cp:coreProperties>
</file>